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F3" i="2"/>
  <c r="F4" i="2"/>
  <c r="F5" i="2"/>
  <c r="F2" i="2"/>
  <c r="E3" i="2"/>
  <c r="E4" i="2"/>
  <c r="E5" i="2"/>
  <c r="E2" i="2"/>
  <c r="B11" i="1"/>
  <c r="B10" i="1"/>
  <c r="B9" i="1"/>
  <c r="E7" i="1"/>
  <c r="F7" i="1"/>
  <c r="D7" i="1"/>
  <c r="B7" i="1"/>
  <c r="J3" i="1"/>
  <c r="J4" i="1"/>
  <c r="J5" i="1"/>
  <c r="J6" i="1"/>
  <c r="J2" i="1"/>
  <c r="E3" i="1"/>
  <c r="F3" i="1" s="1"/>
  <c r="E4" i="1"/>
  <c r="F4" i="1" s="1"/>
  <c r="E5" i="1"/>
  <c r="F5" i="1" s="1"/>
  <c r="E6" i="1"/>
  <c r="F6" i="1" s="1"/>
  <c r="E2" i="1"/>
  <c r="F2" i="1" s="1"/>
  <c r="D3" i="1"/>
  <c r="D4" i="1"/>
  <c r="D5" i="1"/>
  <c r="D6" i="1"/>
  <c r="D2" i="1"/>
</calcChain>
</file>

<file path=xl/sharedStrings.xml><?xml version="1.0" encoding="utf-8"?>
<sst xmlns="http://schemas.openxmlformats.org/spreadsheetml/2006/main" count="29" uniqueCount="29">
  <si>
    <t>ФИО 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</si>
  <si>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</si>
  <si>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</si>
  <si>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</si>
  <si>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</si>
  <si>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</si>
  <si>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</t>
  </si>
  <si>
    <t>Петров П.П.</t>
  </si>
  <si>
    <t>Сидоров. С.С</t>
  </si>
  <si>
    <t>Смирнов С.С</t>
  </si>
  <si>
    <t>№ п/п</t>
  </si>
  <si>
    <t>Ставка НДФЛ</t>
  </si>
  <si>
    <t>Коэффициент</t>
  </si>
  <si>
    <t>ИТОГО:</t>
  </si>
  <si>
    <t>…..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</si>
  <si>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</si>
  <si>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</si>
  <si>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</si>
  <si>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</si>
  <si>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</si>
  <si>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</si>
  <si>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</si>
  <si>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</si>
  <si>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</si>
  <si>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</si>
  <si>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</si>
  <si>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</si>
  <si>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</si>
  <si>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Итого со скидкой: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</si>
</sst>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12" sqref="E12"/>
    </sheetView>
  </sheetViews>
  <sheetFormatPr defaultRowHeight="14.5" x14ac:dyDescent="0.35"/>
  <cols>
    <col min="1" max="1" width="26.08984375" customWidth="1"/>
    <col min="2" max="2" width="17.81640625" customWidth="1"/>
    <col min="3" max="3" width="17.6328125" customWidth="1"/>
    <col min="4" max="4" width="13.26953125" customWidth="1"/>
    <col min="5" max="5" width="11.08984375" customWidth="1"/>
    <col min="6" max="6" width="14" customWidth="1"/>
    <col min="8" max="8" width="13.7265625" customWidth="1"/>
    <col min="9" max="9" width="17.36328125" customWidth="1"/>
  </cols>
  <sheetData>
    <row r="1" spans="1:10" x14ac:dyDescent="0.35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4" t="s">
        <v>11</v>
      </c>
      <c r="I1" s="4" t="s">
        <v>12</v>
      </c>
    </row>
    <row r="2" spans="1:10" x14ac:dyDescent="0.35">
      <c r="A2" t="s">
        <v>6</v>
      </c>
      <c r="B2" s="1">
        <v>50000</v>
      </c>
      <c r="C2">
        <v>20</v>
      </c>
      <c r="D2">
        <f>B2*C2/100</f>
        <v>10000</v>
      </c>
      <c r="E2">
        <f>(B2+D2)*$H$2</f>
        <v>9000</v>
      </c>
      <c r="F2" s="1">
        <f>B2+D2-E2</f>
        <v>51000</v>
      </c>
      <c r="G2">
        <v>1</v>
      </c>
      <c r="H2" s="5">
        <v>0.15</v>
      </c>
      <c r="I2">
        <v>1.5</v>
      </c>
      <c r="J2">
        <f>B2*$I$2</f>
        <v>75000</v>
      </c>
    </row>
    <row r="3" spans="1:10" x14ac:dyDescent="0.35">
      <c r="A3" t="s">
        <v>7</v>
      </c>
      <c r="B3" s="1">
        <v>45000</v>
      </c>
      <c r="C3">
        <v>15</v>
      </c>
      <c r="D3">
        <f t="shared" ref="D3:D6" si="0">B3*C3/100</f>
        <v>6750</v>
      </c>
      <c r="E3">
        <f t="shared" ref="E3:E6" si="1">(B3+D3)*$H$2</f>
        <v>7762.5</v>
      </c>
      <c r="F3" s="1">
        <f t="shared" ref="F3:F6" si="2">B3+D3-E3</f>
        <v>43987.5</v>
      </c>
      <c r="G3">
        <v>2</v>
      </c>
      <c r="J3">
        <f t="shared" ref="J3:J6" si="3">B3*$I$2</f>
        <v>67500</v>
      </c>
    </row>
    <row r="4" spans="1:10" x14ac:dyDescent="0.35">
      <c r="A4" t="s">
        <v>8</v>
      </c>
      <c r="B4" s="1">
        <v>62000</v>
      </c>
      <c r="C4">
        <v>25</v>
      </c>
      <c r="D4">
        <f t="shared" si="0"/>
        <v>15500</v>
      </c>
      <c r="E4">
        <f t="shared" si="1"/>
        <v>11625</v>
      </c>
      <c r="F4" s="1">
        <f t="shared" si="2"/>
        <v>65875</v>
      </c>
      <c r="G4">
        <v>3</v>
      </c>
      <c r="J4">
        <f t="shared" si="3"/>
        <v>93000</v>
      </c>
    </row>
    <row r="5" spans="1:10" x14ac:dyDescent="0.35">
      <c r="A5" t="s">
        <v>14</v>
      </c>
      <c r="B5" s="1">
        <v>0</v>
      </c>
      <c r="C5">
        <v>0</v>
      </c>
      <c r="D5">
        <f t="shared" si="0"/>
        <v>0</v>
      </c>
      <c r="E5">
        <f t="shared" si="1"/>
        <v>0</v>
      </c>
      <c r="F5" s="1">
        <f t="shared" si="2"/>
        <v>0</v>
      </c>
      <c r="G5">
        <v>4</v>
      </c>
      <c r="J5">
        <f t="shared" si="3"/>
        <v>0</v>
      </c>
    </row>
    <row r="6" spans="1:10" x14ac:dyDescent="0.35">
      <c r="A6" t="s">
        <v>9</v>
      </c>
      <c r="B6" s="1">
        <v>40000</v>
      </c>
      <c r="C6">
        <v>30</v>
      </c>
      <c r="D6">
        <f t="shared" si="0"/>
        <v>12000</v>
      </c>
      <c r="E6">
        <f t="shared" si="1"/>
        <v>7800</v>
      </c>
      <c r="F6" s="1">
        <f t="shared" si="2"/>
        <v>44200</v>
      </c>
      <c r="G6">
        <v>5</v>
      </c>
      <c r="J6">
        <f t="shared" si="3"/>
        <v>60000</v>
      </c>
    </row>
    <row r="7" spans="1:10" x14ac:dyDescent="0.35">
      <c r="A7" s="2" t="s">
        <v>13</v>
      </c>
      <c r="B7" s="1">
        <f>SUM(B2:B6)</f>
        <v>197000</v>
      </c>
      <c r="D7">
        <f>SUM(D2:D6)</f>
        <v>44250</v>
      </c>
      <c r="E7">
        <f t="shared" ref="E7:F7" si="4">SUM(E2:E6)</f>
        <v>36187.5</v>
      </c>
      <c r="F7">
        <f t="shared" si="4"/>
        <v>205062.5</v>
      </c>
    </row>
    <row r="9" spans="1:10" x14ac:dyDescent="0.35">
      <c r="A9" s="2" t="s">
        <v>15</v>
      </c>
      <c r="B9" s="1">
        <f>AVERAGE(F2:F6)</f>
        <v>41012.5</v>
      </c>
    </row>
    <row r="10" spans="1:10" x14ac:dyDescent="0.35">
      <c r="A10" s="2" t="s">
        <v>16</v>
      </c>
      <c r="B10" s="1">
        <f>MAX(F2:F6)</f>
        <v>65875</v>
      </c>
    </row>
    <row r="11" spans="1:10" x14ac:dyDescent="0.35">
      <c r="A11" s="2" t="s">
        <v>17</v>
      </c>
      <c r="B11" s="1">
        <f>MIN(F2:F6)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8" sqref="E8"/>
    </sheetView>
  </sheetViews>
  <sheetFormatPr defaultRowHeight="14.5" x14ac:dyDescent="0.35"/>
  <cols>
    <col min="1" max="1" width="17.08984375" customWidth="1"/>
    <col min="2" max="2" width="17.54296875" customWidth="1"/>
    <col min="3" max="3" width="16.81640625" customWidth="1"/>
    <col min="4" max="4" width="14.453125" customWidth="1"/>
    <col min="5" max="5" width="13.453125" customWidth="1"/>
    <col min="6" max="6" width="17.81640625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 t="s">
        <v>24</v>
      </c>
      <c r="B2" s="1">
        <v>45000</v>
      </c>
      <c r="C2">
        <v>5</v>
      </c>
      <c r="D2">
        <v>5</v>
      </c>
      <c r="E2">
        <f>B2*C2</f>
        <v>225000</v>
      </c>
      <c r="F2">
        <f>E2 * (1-D2/100)</f>
        <v>213750</v>
      </c>
    </row>
    <row r="3" spans="1:6" x14ac:dyDescent="0.35">
      <c r="A3" t="s">
        <v>25</v>
      </c>
      <c r="B3" s="1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 * (1-D3/100)</f>
        <v>174600</v>
      </c>
    </row>
    <row r="4" spans="1:6" x14ac:dyDescent="0.35">
      <c r="A4" t="s">
        <v>26</v>
      </c>
      <c r="B4" s="1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</row>
    <row r="5" spans="1:6" x14ac:dyDescent="0.35">
      <c r="A5" t="s">
        <v>27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</row>
    <row r="7" spans="1:6" x14ac:dyDescent="0.35">
      <c r="A7" s="2" t="s">
        <v>28</v>
      </c>
      <c r="B7">
        <f>SUM(F2:F5)</f>
        <v>444420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2026-09-16T11:06:41Z</dcterms:modified>
</cp:coreProperties>
</file>