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" l="1"/>
  <c r="I2" i="1"/>
  <c r="K27" i="1"/>
  <c r="K26" i="1"/>
  <c r="K25" i="1"/>
  <c r="K24" i="1"/>
  <c r="K23" i="1"/>
  <c r="D22" i="1"/>
  <c r="K21" i="1"/>
  <c r="K22" i="1"/>
  <c r="D21" i="1"/>
  <c r="K19" i="1"/>
  <c r="D20" i="1"/>
  <c r="D23" i="1"/>
  <c r="D19" i="1"/>
  <c r="Q8" i="1"/>
  <c r="Q9" i="1"/>
  <c r="Q10" i="1"/>
  <c r="P3" i="1"/>
  <c r="Q3" i="1" s="1"/>
  <c r="P4" i="1"/>
  <c r="Q4" i="1" s="1"/>
  <c r="P5" i="1"/>
  <c r="Q5" i="1" s="1"/>
  <c r="P6" i="1"/>
  <c r="Q6" i="1" s="1"/>
  <c r="P7" i="1"/>
  <c r="Q7" i="1" s="1"/>
  <c r="P8" i="1"/>
  <c r="P9" i="1"/>
  <c r="P10" i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2" i="1"/>
  <c r="Q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<sst xmlns="http://schemas.openxmlformats.org/spreadsheetml/2006/main" count="64" uniqueCount="53">
  <si>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</si>
  <si>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</si>
  <si>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</si>
  <si>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</si>
  <si>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</si>
  <si>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</si>
  <si>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</si>
  <si>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</si>
  <si>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</si>
  <si>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</si>
  <si>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</si>
  <si>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</si>
  <si>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</si>
  <si>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</si>
  <si>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</si>
  <si>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</si>
  <si>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</si>
  <si>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</si>
  <si>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</t>
  </si>
  <si>
    <t>Павлова П.П.</t>
  </si>
  <si>
    <t>Соколов С.С.</t>
  </si>
  <si>
    <t>Лебедева Л.Л.</t>
  </si>
  <si>
    <t>Козлов К.К</t>
  </si>
  <si>
    <t>Степанова С.С.</t>
  </si>
  <si>
    <t>Товар</t>
  </si>
  <si>
    <t>Цена (руб.)</t>
  </si>
  <si>
    <t>Продано (шт.)</t>
  </si>
  <si>
    <t>Выручка</t>
  </si>
  <si>
    <t>Категория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</si>
  <si>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</si>
  <si>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</si>
  <si>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</si>
  <si>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</si>
  <si>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</si>
  <si>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</si>
  <si>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</si>
  <si>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</si>
  <si>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</si>
  <si>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</si>
  <si>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</si>
  <si>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</si>
  <si>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</si>
  <si>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</si>
  <si>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</si>
  <si>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Сумма</t>
  </si>
  <si>
    <t>мода</t>
  </si>
  <si>
    <t>минимум</t>
  </si>
  <si>
    <t>максимум</t>
  </si>
  <si>
    <t>медиана</t>
  </si>
  <si>
    <t>Стандартное отклонение</t>
  </si>
  <si>
    <t>дисперсия</t>
  </si>
  <si>
    <t>КОРРЕЛ</t>
  </si>
  <si>
    <t>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</si>
</sst>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left"/>
    </xf>
    <xf numFmtId="43" fontId="0" fillId="0" borderId="2" xfId="1" applyFont="1" applyBorder="1"/>
    <xf numFmtId="0" fontId="0" fillId="0" borderId="3" xfId="0" applyBorder="1"/>
    <xf numFmtId="0" fontId="0" fillId="0" borderId="1" xfId="0" applyFill="1" applyBorder="1" applyAlignment="1">
      <alignment horizontal="left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43" fontId="0" fillId="0" borderId="1" xfId="1" applyFont="1" applyBorder="1" applyAlignment="1">
      <alignment horizontal="right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tabSelected="1" workbookViewId="0">
      <selection activeCell="J13" sqref="J13"/>
    </sheetView>
  </sheetViews>
  <sheetFormatPr defaultRowHeight="14.5" x14ac:dyDescent="0.35"/>
  <cols>
    <col min="1" max="1" width="5.453125" customWidth="1"/>
    <col min="2" max="2" width="16.54296875" customWidth="1"/>
    <col min="3" max="3" width="11.453125" customWidth="1"/>
    <col min="4" max="4" width="17.36328125" customWidth="1"/>
    <col min="5" max="5" width="14.36328125" customWidth="1"/>
    <col min="6" max="6" width="14.1796875" customWidth="1"/>
    <col min="7" max="7" width="13.90625" customWidth="1"/>
    <col min="10" max="10" width="22.90625" customWidth="1"/>
    <col min="11" max="11" width="12.453125" bestFit="1" customWidth="1"/>
    <col min="12" max="12" width="4.81640625" customWidth="1"/>
    <col min="13" max="13" width="17.26953125" customWidth="1"/>
    <col min="14" max="14" width="10.81640625" customWidth="1"/>
    <col min="17" max="17" width="10.08984375" customWidth="1"/>
  </cols>
  <sheetData>
    <row r="1" spans="1:17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6" t="s">
        <v>0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</row>
    <row r="2" spans="1:17" x14ac:dyDescent="0.35">
      <c r="A2" s="2">
        <v>1</v>
      </c>
      <c r="B2" s="7" t="s">
        <v>9</v>
      </c>
      <c r="C2" s="2">
        <v>85</v>
      </c>
      <c r="D2" s="2">
        <v>78</v>
      </c>
      <c r="E2" s="2">
        <v>92</v>
      </c>
      <c r="F2" s="1">
        <f>C2+D2+E2</f>
        <v>255</v>
      </c>
      <c r="G2" s="8">
        <f>(C2+D2+E2)/3</f>
        <v>85</v>
      </c>
      <c r="H2" s="1"/>
      <c r="I2" s="1">
        <f>_xlfn.RANK.EQ(P2, $P$2:$P$16, 0)</f>
        <v>1</v>
      </c>
      <c r="L2" s="2">
        <v>1</v>
      </c>
      <c r="M2" s="1" t="s">
        <v>29</v>
      </c>
      <c r="N2" s="2">
        <v>45000</v>
      </c>
      <c r="O2" s="2">
        <v>12</v>
      </c>
      <c r="P2" s="2">
        <f>N2*O2</f>
        <v>540000</v>
      </c>
      <c r="Q2" s="1" t="str">
        <f>IF(P2&gt;100000, "Топ", IF(P2&gt;50000, "Средний", "Низкий"))</f>
        <v>Топ</v>
      </c>
    </row>
    <row r="3" spans="1:17" x14ac:dyDescent="0.35">
      <c r="A3" s="2">
        <v>2</v>
      </c>
      <c r="B3" s="7" t="s">
        <v>10</v>
      </c>
      <c r="C3" s="2">
        <v>72</v>
      </c>
      <c r="D3" s="2">
        <v>65</v>
      </c>
      <c r="E3" s="2">
        <v>80</v>
      </c>
      <c r="F3" s="1">
        <f t="shared" ref="F3:F16" si="0">C3+D3+E3</f>
        <v>217</v>
      </c>
      <c r="G3" s="8">
        <f t="shared" ref="G3:G16" si="1">(C3+D3+E3)/3</f>
        <v>72.333333333333329</v>
      </c>
      <c r="H3" s="9"/>
      <c r="I3" s="3"/>
      <c r="L3" s="2">
        <v>2</v>
      </c>
      <c r="M3" s="1" t="s">
        <v>30</v>
      </c>
      <c r="N3" s="2">
        <v>18000</v>
      </c>
      <c r="O3" s="2">
        <v>25</v>
      </c>
      <c r="P3" s="2">
        <f t="shared" ref="P3:P16" si="2">N3*O3</f>
        <v>450000</v>
      </c>
      <c r="Q3" s="1" t="str">
        <f t="shared" ref="Q3:Q16" si="3">IF(P3&gt;100000, "Топ", IF(P3&gt;50000, "Средний", "Низкий"))</f>
        <v>Топ</v>
      </c>
    </row>
    <row r="4" spans="1:17" x14ac:dyDescent="0.35">
      <c r="A4" s="2">
        <v>3</v>
      </c>
      <c r="B4" s="7" t="s">
        <v>11</v>
      </c>
      <c r="C4" s="2">
        <v>95</v>
      </c>
      <c r="D4" s="2">
        <v>88</v>
      </c>
      <c r="E4" s="2">
        <v>98</v>
      </c>
      <c r="F4" s="1">
        <f t="shared" si="0"/>
        <v>281</v>
      </c>
      <c r="G4" s="8">
        <f t="shared" si="1"/>
        <v>93.666666666666671</v>
      </c>
      <c r="H4" s="9"/>
      <c r="I4" s="3"/>
      <c r="L4" s="2">
        <v>3</v>
      </c>
      <c r="M4" s="1" t="s">
        <v>31</v>
      </c>
      <c r="N4" s="2">
        <v>1500</v>
      </c>
      <c r="O4" s="2">
        <v>60</v>
      </c>
      <c r="P4" s="2">
        <f t="shared" si="2"/>
        <v>90000</v>
      </c>
      <c r="Q4" s="1" t="str">
        <f t="shared" si="3"/>
        <v>Средний</v>
      </c>
    </row>
    <row r="5" spans="1:17" x14ac:dyDescent="0.35">
      <c r="A5" s="2">
        <v>4</v>
      </c>
      <c r="B5" s="7" t="s">
        <v>12</v>
      </c>
      <c r="C5" s="2">
        <v>65</v>
      </c>
      <c r="D5" s="2">
        <v>55</v>
      </c>
      <c r="E5" s="2">
        <v>70</v>
      </c>
      <c r="F5" s="1">
        <f t="shared" si="0"/>
        <v>190</v>
      </c>
      <c r="G5" s="8">
        <f t="shared" si="1"/>
        <v>63.333333333333336</v>
      </c>
      <c r="H5" s="9"/>
      <c r="I5" s="3"/>
      <c r="L5" s="2">
        <v>4</v>
      </c>
      <c r="M5" s="1" t="s">
        <v>32</v>
      </c>
      <c r="N5" s="2">
        <v>800</v>
      </c>
      <c r="O5" s="2">
        <v>85</v>
      </c>
      <c r="P5" s="2">
        <f t="shared" si="2"/>
        <v>68000</v>
      </c>
      <c r="Q5" s="1" t="str">
        <f t="shared" si="3"/>
        <v>Средний</v>
      </c>
    </row>
    <row r="6" spans="1:17" x14ac:dyDescent="0.35">
      <c r="A6" s="2">
        <v>5</v>
      </c>
      <c r="B6" s="7" t="s">
        <v>13</v>
      </c>
      <c r="C6" s="2">
        <v>78</v>
      </c>
      <c r="D6" s="2">
        <v>82</v>
      </c>
      <c r="E6" s="2">
        <v>85</v>
      </c>
      <c r="F6" s="1">
        <f t="shared" si="0"/>
        <v>245</v>
      </c>
      <c r="G6" s="8">
        <f t="shared" si="1"/>
        <v>81.666666666666671</v>
      </c>
      <c r="H6" s="9"/>
      <c r="I6" s="3"/>
      <c r="L6" s="2">
        <v>5</v>
      </c>
      <c r="M6" s="1" t="s">
        <v>33</v>
      </c>
      <c r="N6" s="2">
        <v>12000</v>
      </c>
      <c r="O6" s="2">
        <v>8</v>
      </c>
      <c r="P6" s="2">
        <f t="shared" si="2"/>
        <v>96000</v>
      </c>
      <c r="Q6" s="1" t="str">
        <f t="shared" si="3"/>
        <v>Средний</v>
      </c>
    </row>
    <row r="7" spans="1:17" x14ac:dyDescent="0.35">
      <c r="A7" s="2">
        <v>6</v>
      </c>
      <c r="B7" s="7" t="s">
        <v>14</v>
      </c>
      <c r="C7" s="2">
        <v>88</v>
      </c>
      <c r="D7" s="2">
        <v>90</v>
      </c>
      <c r="E7" s="2">
        <v>95</v>
      </c>
      <c r="F7" s="1">
        <f t="shared" si="0"/>
        <v>273</v>
      </c>
      <c r="G7" s="8">
        <f t="shared" si="1"/>
        <v>91</v>
      </c>
      <c r="H7" s="9"/>
      <c r="I7" s="3"/>
      <c r="L7" s="2">
        <v>6</v>
      </c>
      <c r="M7" s="1" t="s">
        <v>34</v>
      </c>
      <c r="N7" s="2">
        <v>9000</v>
      </c>
      <c r="O7" s="2">
        <v>6</v>
      </c>
      <c r="P7" s="2">
        <f t="shared" si="2"/>
        <v>54000</v>
      </c>
      <c r="Q7" s="1" t="str">
        <f t="shared" si="3"/>
        <v>Средний</v>
      </c>
    </row>
    <row r="8" spans="1:17" x14ac:dyDescent="0.35">
      <c r="A8" s="2">
        <v>7</v>
      </c>
      <c r="B8" s="7" t="s">
        <v>15</v>
      </c>
      <c r="C8" s="2">
        <v>65</v>
      </c>
      <c r="D8" s="2">
        <v>70</v>
      </c>
      <c r="E8" s="2">
        <v>68</v>
      </c>
      <c r="F8" s="1">
        <f t="shared" si="0"/>
        <v>203</v>
      </c>
      <c r="G8" s="8">
        <f t="shared" si="1"/>
        <v>67.666666666666671</v>
      </c>
      <c r="H8" s="9"/>
      <c r="I8" s="3"/>
      <c r="L8" s="2">
        <v>7</v>
      </c>
      <c r="M8" s="1" t="s">
        <v>35</v>
      </c>
      <c r="N8" s="2">
        <v>600</v>
      </c>
      <c r="O8" s="2">
        <v>120</v>
      </c>
      <c r="P8" s="2">
        <f t="shared" si="2"/>
        <v>72000</v>
      </c>
      <c r="Q8" s="1" t="str">
        <f t="shared" si="3"/>
        <v>Средний</v>
      </c>
    </row>
    <row r="9" spans="1:17" x14ac:dyDescent="0.35">
      <c r="A9" s="2">
        <v>8</v>
      </c>
      <c r="B9" s="7" t="s">
        <v>16</v>
      </c>
      <c r="C9" s="2">
        <v>92</v>
      </c>
      <c r="D9" s="2">
        <v>85</v>
      </c>
      <c r="E9" s="2">
        <v>88</v>
      </c>
      <c r="F9" s="1">
        <f t="shared" si="0"/>
        <v>265</v>
      </c>
      <c r="G9" s="8">
        <f t="shared" si="1"/>
        <v>88.333333333333329</v>
      </c>
      <c r="H9" s="9"/>
      <c r="I9" s="3"/>
      <c r="L9" s="2">
        <v>8</v>
      </c>
      <c r="M9" s="1" t="s">
        <v>36</v>
      </c>
      <c r="N9" s="2">
        <v>5500</v>
      </c>
      <c r="O9" s="2">
        <v>15</v>
      </c>
      <c r="P9" s="2">
        <f t="shared" si="2"/>
        <v>82500</v>
      </c>
      <c r="Q9" s="1" t="str">
        <f t="shared" si="3"/>
        <v>Средний</v>
      </c>
    </row>
    <row r="10" spans="1:17" x14ac:dyDescent="0.35">
      <c r="A10" s="2">
        <v>9</v>
      </c>
      <c r="B10" s="7" t="s">
        <v>17</v>
      </c>
      <c r="C10" s="5">
        <v>55</v>
      </c>
      <c r="D10" s="5">
        <v>60</v>
      </c>
      <c r="E10" s="5">
        <v>58</v>
      </c>
      <c r="F10" s="1">
        <f t="shared" si="0"/>
        <v>173</v>
      </c>
      <c r="G10" s="8">
        <f t="shared" si="1"/>
        <v>57.666666666666664</v>
      </c>
      <c r="H10" s="9"/>
      <c r="I10" s="3"/>
      <c r="L10" s="2">
        <v>9</v>
      </c>
      <c r="M10" s="1" t="s">
        <v>37</v>
      </c>
      <c r="N10" s="5">
        <v>2800</v>
      </c>
      <c r="O10" s="5">
        <v>22</v>
      </c>
      <c r="P10" s="2">
        <f t="shared" si="2"/>
        <v>61600</v>
      </c>
      <c r="Q10" s="1" t="str">
        <f t="shared" si="3"/>
        <v>Средний</v>
      </c>
    </row>
    <row r="11" spans="1:17" x14ac:dyDescent="0.35">
      <c r="A11" s="2">
        <v>10</v>
      </c>
      <c r="B11" s="7" t="s">
        <v>18</v>
      </c>
      <c r="C11" s="5">
        <v>80</v>
      </c>
      <c r="D11" s="5">
        <v>75</v>
      </c>
      <c r="E11" s="5">
        <v>82</v>
      </c>
      <c r="F11" s="1">
        <f t="shared" si="0"/>
        <v>237</v>
      </c>
      <c r="G11" s="8">
        <f t="shared" si="1"/>
        <v>79</v>
      </c>
      <c r="H11" s="9"/>
      <c r="I11" s="3"/>
      <c r="L11" s="2">
        <v>10</v>
      </c>
      <c r="M11" s="1" t="s">
        <v>38</v>
      </c>
      <c r="N11" s="5">
        <v>3200</v>
      </c>
      <c r="O11" s="5">
        <v>35</v>
      </c>
      <c r="P11" s="2">
        <f t="shared" si="2"/>
        <v>112000</v>
      </c>
      <c r="Q11" s="1" t="str">
        <f t="shared" si="3"/>
        <v>Топ</v>
      </c>
    </row>
    <row r="12" spans="1:17" x14ac:dyDescent="0.35">
      <c r="A12" s="2">
        <v>11</v>
      </c>
      <c r="B12" s="7" t="s">
        <v>19</v>
      </c>
      <c r="C12" s="5">
        <v>70</v>
      </c>
      <c r="D12" s="5">
        <v>68</v>
      </c>
      <c r="E12" s="5">
        <v>72</v>
      </c>
      <c r="F12" s="1">
        <f t="shared" si="0"/>
        <v>210</v>
      </c>
      <c r="G12" s="8">
        <f t="shared" si="1"/>
        <v>70</v>
      </c>
      <c r="H12" s="9"/>
      <c r="I12" s="3"/>
      <c r="L12" s="2">
        <v>11</v>
      </c>
      <c r="M12" s="1" t="s">
        <v>39</v>
      </c>
      <c r="N12" s="5">
        <v>400</v>
      </c>
      <c r="O12" s="5">
        <v>90</v>
      </c>
      <c r="P12" s="2">
        <f t="shared" si="2"/>
        <v>36000</v>
      </c>
      <c r="Q12" s="1" t="str">
        <f t="shared" si="3"/>
        <v>Низкий</v>
      </c>
    </row>
    <row r="13" spans="1:17" x14ac:dyDescent="0.35">
      <c r="A13" s="2">
        <v>12</v>
      </c>
      <c r="B13" s="7" t="s">
        <v>20</v>
      </c>
      <c r="C13" s="5">
        <v>90</v>
      </c>
      <c r="D13" s="5">
        <v>92</v>
      </c>
      <c r="E13" s="5">
        <v>94</v>
      </c>
      <c r="F13" s="1">
        <f t="shared" si="0"/>
        <v>276</v>
      </c>
      <c r="G13" s="8">
        <f t="shared" si="1"/>
        <v>92</v>
      </c>
      <c r="H13" s="9"/>
      <c r="I13" s="3"/>
      <c r="L13" s="2">
        <v>12</v>
      </c>
      <c r="M13" s="1" t="s">
        <v>40</v>
      </c>
      <c r="N13" s="5">
        <v>1200</v>
      </c>
      <c r="O13" s="5">
        <v>40</v>
      </c>
      <c r="P13" s="2">
        <f t="shared" si="2"/>
        <v>48000</v>
      </c>
      <c r="Q13" s="1" t="str">
        <f t="shared" si="3"/>
        <v>Низкий</v>
      </c>
    </row>
    <row r="14" spans="1:17" x14ac:dyDescent="0.35">
      <c r="A14" s="2">
        <v>13</v>
      </c>
      <c r="B14" s="7" t="s">
        <v>21</v>
      </c>
      <c r="C14" s="5">
        <v>92</v>
      </c>
      <c r="D14" s="5">
        <v>78</v>
      </c>
      <c r="E14" s="5">
        <v>80</v>
      </c>
      <c r="F14" s="1">
        <f t="shared" si="0"/>
        <v>250</v>
      </c>
      <c r="G14" s="8">
        <f t="shared" si="1"/>
        <v>83.333333333333329</v>
      </c>
      <c r="H14" s="9"/>
      <c r="I14" s="3"/>
      <c r="L14" s="2">
        <v>13</v>
      </c>
      <c r="M14" s="1" t="s">
        <v>41</v>
      </c>
      <c r="N14" s="5">
        <v>2500</v>
      </c>
      <c r="O14" s="5">
        <v>18</v>
      </c>
      <c r="P14" s="2">
        <f t="shared" si="2"/>
        <v>45000</v>
      </c>
      <c r="Q14" s="1" t="str">
        <f t="shared" si="3"/>
        <v>Низкий</v>
      </c>
    </row>
    <row r="15" spans="1:17" x14ac:dyDescent="0.35">
      <c r="A15" s="2">
        <v>14</v>
      </c>
      <c r="B15" s="7" t="s">
        <v>22</v>
      </c>
      <c r="C15" s="5">
        <v>78</v>
      </c>
      <c r="D15" s="5">
        <v>58</v>
      </c>
      <c r="E15" s="5">
        <v>65</v>
      </c>
      <c r="F15" s="1">
        <f t="shared" si="0"/>
        <v>201</v>
      </c>
      <c r="G15" s="8">
        <f t="shared" si="1"/>
        <v>67</v>
      </c>
      <c r="H15" s="9"/>
      <c r="I15" s="3"/>
      <c r="L15" s="2">
        <v>14</v>
      </c>
      <c r="M15" s="1" t="s">
        <v>42</v>
      </c>
      <c r="N15" s="5">
        <v>350</v>
      </c>
      <c r="O15" s="5">
        <v>200</v>
      </c>
      <c r="P15" s="2">
        <f t="shared" si="2"/>
        <v>70000</v>
      </c>
      <c r="Q15" s="1" t="str">
        <f t="shared" si="3"/>
        <v>Средний</v>
      </c>
    </row>
    <row r="16" spans="1:17" x14ac:dyDescent="0.35">
      <c r="A16" s="2">
        <v>15</v>
      </c>
      <c r="B16" s="7" t="s">
        <v>23</v>
      </c>
      <c r="C16" s="5">
        <v>58</v>
      </c>
      <c r="D16" s="5">
        <v>95</v>
      </c>
      <c r="E16" s="5">
        <v>100</v>
      </c>
      <c r="F16" s="1">
        <f t="shared" si="0"/>
        <v>253</v>
      </c>
      <c r="G16" s="8">
        <f t="shared" si="1"/>
        <v>84.333333333333329</v>
      </c>
      <c r="H16" s="9"/>
      <c r="I16" s="3"/>
      <c r="L16" s="2">
        <v>15</v>
      </c>
      <c r="M16" s="1" t="s">
        <v>43</v>
      </c>
      <c r="N16" s="5">
        <v>4500</v>
      </c>
      <c r="O16" s="5">
        <v>14</v>
      </c>
      <c r="P16" s="2">
        <f t="shared" si="2"/>
        <v>63000</v>
      </c>
      <c r="Q16" s="1" t="str">
        <f t="shared" si="3"/>
        <v>Средний</v>
      </c>
    </row>
    <row r="17" spans="2:11" x14ac:dyDescent="0.35">
      <c r="B17" s="3"/>
      <c r="C17" s="4"/>
    </row>
    <row r="19" spans="2:11" x14ac:dyDescent="0.35">
      <c r="B19" s="10" t="s">
        <v>44</v>
      </c>
      <c r="C19" s="10" t="s">
        <v>44</v>
      </c>
      <c r="D19" s="1">
        <f>SUM(F2:F16)</f>
        <v>3529</v>
      </c>
      <c r="J19" s="10" t="s">
        <v>44</v>
      </c>
      <c r="K19" s="13">
        <f>SUM(P2:P16)</f>
        <v>1888100</v>
      </c>
    </row>
    <row r="20" spans="2:11" x14ac:dyDescent="0.35">
      <c r="B20" s="10" t="s">
        <v>48</v>
      </c>
      <c r="C20" s="10" t="s">
        <v>48</v>
      </c>
      <c r="D20" s="1">
        <f>MEDIAN(F2:F16)</f>
        <v>245</v>
      </c>
      <c r="J20" s="1" t="s">
        <v>52</v>
      </c>
      <c r="K20" s="14">
        <f>AVERAGE(P2:P16)</f>
        <v>125873.33333333333</v>
      </c>
    </row>
    <row r="21" spans="2:11" x14ac:dyDescent="0.35">
      <c r="B21" s="10" t="s">
        <v>45</v>
      </c>
      <c r="C21" s="10" t="s">
        <v>45</v>
      </c>
      <c r="D21" s="1">
        <f>COUNTIF(F$2:F$16, F2)</f>
        <v>1</v>
      </c>
      <c r="J21" s="10" t="s">
        <v>48</v>
      </c>
      <c r="K21" s="13">
        <f>MEDIAN(P2:P16)</f>
        <v>70000</v>
      </c>
    </row>
    <row r="22" spans="2:11" x14ac:dyDescent="0.35">
      <c r="B22" s="10" t="s">
        <v>46</v>
      </c>
      <c r="C22" s="10" t="s">
        <v>46</v>
      </c>
      <c r="D22" s="1">
        <f>MIN(F2:F16)</f>
        <v>173</v>
      </c>
      <c r="J22" s="10" t="s">
        <v>45</v>
      </c>
      <c r="K22" s="13">
        <f>COUNTIF(F$2:F$16, F2)</f>
        <v>1</v>
      </c>
    </row>
    <row r="23" spans="2:11" x14ac:dyDescent="0.35">
      <c r="B23" s="10" t="s">
        <v>47</v>
      </c>
      <c r="C23" s="10" t="s">
        <v>47</v>
      </c>
      <c r="D23" s="1">
        <f>MAX(F2:F16)</f>
        <v>281</v>
      </c>
      <c r="J23" s="10" t="s">
        <v>46</v>
      </c>
      <c r="K23" s="13">
        <f>MIN(P2:P16)</f>
        <v>36000</v>
      </c>
    </row>
    <row r="24" spans="2:11" x14ac:dyDescent="0.35">
      <c r="J24" s="10" t="s">
        <v>47</v>
      </c>
      <c r="K24" s="13">
        <f>MAX(P2:P16)</f>
        <v>540000</v>
      </c>
    </row>
    <row r="25" spans="2:11" x14ac:dyDescent="0.35">
      <c r="J25" s="1" t="s">
        <v>49</v>
      </c>
      <c r="K25" s="13">
        <f>_xlfn.STDEV.P(P2:P16)</f>
        <v>146996.00206203645</v>
      </c>
    </row>
    <row r="26" spans="2:11" x14ac:dyDescent="0.35">
      <c r="J26" s="1" t="s">
        <v>50</v>
      </c>
      <c r="K26" s="13">
        <f>_xlfn.VAR.P(P2:P16)</f>
        <v>21607824622.222221</v>
      </c>
    </row>
    <row r="27" spans="2:11" x14ac:dyDescent="0.35">
      <c r="J27" s="10" t="s">
        <v>51</v>
      </c>
      <c r="K27" s="13">
        <f>CORREL(N2:N16, O2:O16)</f>
        <v>-0.39694833806521035</v>
      </c>
    </row>
    <row r="34" spans="8:8" x14ac:dyDescent="0.35">
      <c r="H34" s="11"/>
    </row>
    <row r="35" spans="8:8" x14ac:dyDescent="0.35">
      <c r="H35" s="12"/>
    </row>
    <row r="36" spans="8:8" x14ac:dyDescent="0.35">
      <c r="H36" s="12"/>
    </row>
    <row r="37" spans="8:8" x14ac:dyDescent="0.35">
      <c r="H37" s="12"/>
    </row>
    <row r="38" spans="8:8" x14ac:dyDescent="0.35">
      <c r="H38" s="12"/>
    </row>
    <row r="39" spans="8:8" x14ac:dyDescent="0.35">
      <c r="H39" s="12"/>
    </row>
    <row r="40" spans="8:8" x14ac:dyDescent="0.35">
      <c r="H40" s="12"/>
    </row>
    <row r="41" spans="8:8" x14ac:dyDescent="0.35">
      <c r="H41" s="12"/>
    </row>
    <row r="42" spans="8:8" x14ac:dyDescent="0.35">
      <c r="H42" s="12"/>
    </row>
    <row r="43" spans="8:8" x14ac:dyDescent="0.35">
      <c r="H43" s="12"/>
    </row>
    <row r="44" spans="8:8" x14ac:dyDescent="0.35">
      <c r="H44" s="12"/>
    </row>
    <row r="45" spans="8:8" x14ac:dyDescent="0.35">
      <c r="H45" s="12"/>
    </row>
    <row r="46" spans="8:8" x14ac:dyDescent="0.35">
      <c r="H46" s="12"/>
    </row>
    <row r="47" spans="8:8" x14ac:dyDescent="0.35">
      <c r="H47" s="12"/>
    </row>
    <row r="48" spans="8:8" x14ac:dyDescent="0.35">
      <c r="H48" s="12"/>
    </row>
    <row r="49" spans="8:8" x14ac:dyDescent="0.35">
      <c r="H49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2026-09-30T11:24:24Z</dcterms:modified>
</cp:coreProperties>
</file>