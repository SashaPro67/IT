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" l="1"/>
  <c r="T8" i="1"/>
  <c r="T7" i="1"/>
  <c r="Q19" i="1"/>
  <c r="Q18" i="1"/>
  <c r="S22" i="1" s="1"/>
  <c r="D9" i="2"/>
  <c r="B6" i="2"/>
  <c r="B5" i="2"/>
  <c r="AA7" i="1"/>
  <c r="AA6" i="1"/>
  <c r="AA5" i="1"/>
  <c r="AA4" i="1"/>
  <c r="AA3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9" i="1"/>
  <c r="T6" i="1"/>
  <c r="T4" i="1"/>
  <c r="I3" i="1"/>
  <c r="I4" i="1"/>
  <c r="I5" i="1"/>
  <c r="I6" i="1"/>
  <c r="I7" i="1"/>
  <c r="I8" i="1"/>
  <c r="I2" i="1"/>
  <c r="H6" i="1"/>
  <c r="H7" i="1"/>
  <c r="H8" i="1"/>
  <c r="H2" i="1"/>
  <c r="G3" i="1"/>
  <c r="H3" i="1" s="1"/>
  <c r="G4" i="1"/>
  <c r="H4" i="1" s="1"/>
  <c r="G5" i="1"/>
  <c r="H5" i="1" s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<sst xmlns="http://schemas.openxmlformats.org/spreadsheetml/2006/main" count="19" uniqueCount="16">
  <si>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</si>
  <si>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</si>
  <si>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</si>
  <si>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</si>
  <si>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</si>
  <si>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</si>
  <si>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</si>
  <si>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</si>
  <si>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m-3</t>
  </si>
  <si>
    <t>182 211,88 руб.</t>
  </si>
  <si>
    <t>Длина дуги</t>
  </si>
  <si>
    <t>Дуга через РАДИАНЫ</t>
  </si>
  <si>
    <t>r</t>
  </si>
  <si>
    <t>n</t>
  </si>
  <si>
    <t>Ответ:</t>
  </si>
  <si>
    <t>Самостоятельная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</si>
</sst>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9" fontId="0" fillId="0" borderId="0" xfId="0" applyNumberFormat="1"/>
    <xf numFmtId="9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zoomScale="136" zoomScaleNormal="136" workbookViewId="0">
      <selection activeCell="C18" sqref="C18"/>
    </sheetView>
  </sheetViews>
  <sheetFormatPr defaultRowHeight="14.5" x14ac:dyDescent="0.35"/>
  <cols>
    <col min="1" max="1" width="11.7265625" customWidth="1"/>
    <col min="2" max="2" width="12.6328125" customWidth="1"/>
    <col min="3" max="3" width="14.26953125" customWidth="1"/>
    <col min="4" max="4" width="14.81640625" customWidth="1"/>
    <col min="5" max="5" width="13.81640625" customWidth="1"/>
    <col min="6" max="6" width="15.26953125" customWidth="1"/>
    <col min="7" max="7" width="17" customWidth="1"/>
    <col min="8" max="8" width="17.54296875" customWidth="1"/>
    <col min="9" max="9" width="17.08984375" customWidth="1"/>
    <col min="11" max="11" width="8.7265625" customWidth="1"/>
    <col min="17" max="17" width="5.7265625" customWidth="1"/>
    <col min="18" max="18" width="7.36328125" customWidth="1"/>
    <col min="19" max="19" width="10.81640625" customWidth="1"/>
    <col min="20" max="20" width="17.90625" customWidth="1"/>
    <col min="23" max="23" width="6.08984375" customWidth="1"/>
    <col min="24" max="24" width="12.36328125" customWidth="1"/>
    <col min="25" max="25" width="12.1796875" customWidth="1"/>
    <col min="26" max="26" width="19.1796875" customWidth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t="s">
        <v>8</v>
      </c>
      <c r="K1">
        <v>3</v>
      </c>
      <c r="T1">
        <v>100000</v>
      </c>
      <c r="X1" t="s">
        <v>10</v>
      </c>
      <c r="Y1">
        <v>60</v>
      </c>
      <c r="Z1" t="s">
        <v>11</v>
      </c>
      <c r="AA1">
        <f>SUM(D2:D8)</f>
        <v>21.599999999999998</v>
      </c>
    </row>
    <row r="2" spans="1:27" x14ac:dyDescent="0.35">
      <c r="A2" s="1">
        <v>1</v>
      </c>
      <c r="B2" s="1">
        <v>12.5</v>
      </c>
      <c r="C2" s="1">
        <v>30</v>
      </c>
      <c r="D2" s="1">
        <v>2.4</v>
      </c>
      <c r="E2" s="1">
        <v>145</v>
      </c>
      <c r="F2" s="5">
        <f>2*B2</f>
        <v>25</v>
      </c>
      <c r="G2" s="5">
        <f>PI()*POWER(B2,2)*C2</f>
        <v>14726.215563702155</v>
      </c>
      <c r="H2" s="5">
        <f>SQRT(G2)</f>
        <v>121.3516195347312</v>
      </c>
      <c r="I2">
        <f>ABS(D2-$K$1)</f>
        <v>0.60000000000000009</v>
      </c>
      <c r="T2" s="6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17.899999999999999</v>
      </c>
    </row>
    <row r="3" spans="1:27" x14ac:dyDescent="0.35">
      <c r="A3" s="1">
        <v>2</v>
      </c>
      <c r="B3" s="1">
        <v>8.5</v>
      </c>
      <c r="C3" s="1">
        <v>25</v>
      </c>
      <c r="D3" s="1">
        <v>1.1000000000000001</v>
      </c>
      <c r="E3" s="1">
        <v>98</v>
      </c>
      <c r="F3" s="5">
        <f t="shared" ref="F3:F8" si="0">2*B3</f>
        <v>17</v>
      </c>
      <c r="G3" s="5">
        <f t="shared" ref="G3:G8" si="1">PI()*POWER(B3,2)*C3</f>
        <v>5674.5017305465635</v>
      </c>
      <c r="H3" s="5">
        <f t="shared" ref="H3:H8" si="2">SQRT(G3)</f>
        <v>75.329288663484434</v>
      </c>
      <c r="I3">
        <f t="shared" ref="I3:I8" si="3">ABS(D3-$K$1)</f>
        <v>1.9</v>
      </c>
      <c r="T3">
        <v>5</v>
      </c>
      <c r="X3">
        <f t="shared" ref="X3:X8" si="4">PI()*B3*$Y$1/180</f>
        <v>8.9011791851710811</v>
      </c>
      <c r="Z3">
        <f t="shared" ref="Z3:Z8" si="5">B3*RADIANS($Y$1)</f>
        <v>8.9011791851710793</v>
      </c>
      <c r="AA3">
        <f xml:space="preserve"> SUMPRODUCT(D2:D8,E2:E8)/SUM(E2:E8)</f>
        <v>4.0409417398244214</v>
      </c>
    </row>
    <row r="4" spans="1:27" x14ac:dyDescent="0.35">
      <c r="A4" s="1">
        <v>3</v>
      </c>
      <c r="B4" s="1">
        <v>15.7</v>
      </c>
      <c r="C4" s="1">
        <v>40</v>
      </c>
      <c r="D4" s="1">
        <v>3.8</v>
      </c>
      <c r="E4" s="1">
        <v>210</v>
      </c>
      <c r="F4" s="5">
        <f t="shared" si="0"/>
        <v>31.4</v>
      </c>
      <c r="G4" s="5">
        <f t="shared" si="1"/>
        <v>30974.846927333921</v>
      </c>
      <c r="H4" s="5">
        <f t="shared" si="2"/>
        <v>175.99672419489494</v>
      </c>
      <c r="I4">
        <f t="shared" si="3"/>
        <v>0.79999999999999982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5">
      <c r="A5" s="1">
        <v>4</v>
      </c>
      <c r="B5" s="1">
        <v>6.2</v>
      </c>
      <c r="C5" s="1">
        <v>18</v>
      </c>
      <c r="D5" s="1">
        <v>0.7</v>
      </c>
      <c r="E5" s="1">
        <v>75</v>
      </c>
      <c r="F5" s="5">
        <f t="shared" si="0"/>
        <v>12.4</v>
      </c>
      <c r="G5" s="5">
        <f t="shared" si="1"/>
        <v>2173.7307888718501</v>
      </c>
      <c r="H5" s="5">
        <f t="shared" si="2"/>
        <v>46.623285908136616</v>
      </c>
      <c r="I5">
        <f t="shared" si="3"/>
        <v>2.2999999999999998</v>
      </c>
      <c r="T5" t="s">
        <v>9</v>
      </c>
      <c r="X5">
        <f t="shared" si="4"/>
        <v>6.4926248174189052</v>
      </c>
      <c r="Z5">
        <f t="shared" si="5"/>
        <v>6.4926248174189052</v>
      </c>
      <c r="AA5">
        <f>AVERAGE(D2:D8)</f>
        <v>3.0857142857142854</v>
      </c>
    </row>
    <row r="6" spans="1:27" x14ac:dyDescent="0.35">
      <c r="A6" s="1">
        <v>5</v>
      </c>
      <c r="B6" s="1">
        <v>20.100000000000001</v>
      </c>
      <c r="C6" s="1">
        <v>55</v>
      </c>
      <c r="D6" s="1">
        <v>6.5</v>
      </c>
      <c r="E6" s="1">
        <v>320</v>
      </c>
      <c r="F6" s="5">
        <f t="shared" si="0"/>
        <v>40.200000000000003</v>
      </c>
      <c r="G6" s="5">
        <f t="shared" si="1"/>
        <v>69807.916638724681</v>
      </c>
      <c r="H6" s="5">
        <f t="shared" si="2"/>
        <v>264.21187830740064</v>
      </c>
      <c r="I6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>
        <f>MAX(D2:D8)</f>
        <v>6.5</v>
      </c>
    </row>
    <row r="7" spans="1:27" x14ac:dyDescent="0.35">
      <c r="A7" s="1">
        <v>6</v>
      </c>
      <c r="B7" s="1">
        <v>10.4</v>
      </c>
      <c r="C7" s="1">
        <v>28</v>
      </c>
      <c r="D7" s="1">
        <v>1.9</v>
      </c>
      <c r="E7" s="1">
        <v>130</v>
      </c>
      <c r="F7" s="5">
        <f t="shared" si="0"/>
        <v>20.8</v>
      </c>
      <c r="G7" s="5">
        <f t="shared" si="1"/>
        <v>9514.250519543617</v>
      </c>
      <c r="H7" s="5">
        <f t="shared" si="2"/>
        <v>97.541019676562826</v>
      </c>
      <c r="I7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>
        <f>MIN(D2:D8)</f>
        <v>0.7</v>
      </c>
    </row>
    <row r="8" spans="1:27" x14ac:dyDescent="0.35">
      <c r="A8" s="1">
        <v>7</v>
      </c>
      <c r="B8" s="1">
        <v>18.899999999999999</v>
      </c>
      <c r="C8" s="1">
        <v>48</v>
      </c>
      <c r="D8" s="1">
        <v>5.2</v>
      </c>
      <c r="E8" s="1">
        <v>275</v>
      </c>
      <c r="F8" s="5">
        <f t="shared" si="0"/>
        <v>37.799999999999997</v>
      </c>
      <c r="G8" s="5">
        <f t="shared" si="1"/>
        <v>53865.998965862877</v>
      </c>
      <c r="H8" s="5">
        <f t="shared" si="2"/>
        <v>232.09049736226359</v>
      </c>
      <c r="I8">
        <f t="shared" si="3"/>
        <v>2.2000000000000002</v>
      </c>
      <c r="T8">
        <f>T1*EXP(T2*T3)</f>
        <v>182211.88003905088</v>
      </c>
      <c r="X8">
        <f t="shared" si="4"/>
        <v>19.792033717615695</v>
      </c>
      <c r="Z8">
        <f t="shared" si="5"/>
        <v>19.792033717615695</v>
      </c>
    </row>
    <row r="9" spans="1:27" x14ac:dyDescent="0.35">
      <c r="G9" s="4"/>
      <c r="T9">
        <f>72/(T2*100)</f>
        <v>6</v>
      </c>
    </row>
    <row r="10" spans="1:27" x14ac:dyDescent="0.35">
      <c r="T10">
        <f>LN(2)/LN(1+T2)</f>
        <v>6.1162553741996994</v>
      </c>
    </row>
    <row r="12" spans="1:27" x14ac:dyDescent="0.35">
      <c r="P12" s="5" t="s">
        <v>15</v>
      </c>
      <c r="Q12" s="5"/>
      <c r="R12" s="5"/>
    </row>
    <row r="14" spans="1:27" x14ac:dyDescent="0.35">
      <c r="P14" s="3">
        <v>500000</v>
      </c>
      <c r="Q14" s="3"/>
      <c r="R14" s="3"/>
      <c r="S14" s="3"/>
    </row>
    <row r="15" spans="1:27" x14ac:dyDescent="0.35">
      <c r="P15" s="7">
        <v>18</v>
      </c>
      <c r="Q15" s="3"/>
      <c r="R15" s="3"/>
      <c r="S15" s="3"/>
    </row>
    <row r="16" spans="1:27" x14ac:dyDescent="0.35">
      <c r="P16" s="3">
        <v>3</v>
      </c>
      <c r="Q16" s="3"/>
      <c r="R16" s="3"/>
      <c r="S16" s="3"/>
    </row>
    <row r="17" spans="16:19" x14ac:dyDescent="0.35">
      <c r="P17" s="3"/>
      <c r="Q17" s="3"/>
      <c r="R17" s="3"/>
      <c r="S17" s="3"/>
    </row>
    <row r="18" spans="16:19" x14ac:dyDescent="0.35">
      <c r="P18" s="3" t="s">
        <v>12</v>
      </c>
      <c r="Q18" s="3">
        <f>P15/12/100</f>
        <v>1.4999999999999999E-2</v>
      </c>
      <c r="R18" s="3"/>
      <c r="S18" s="3"/>
    </row>
    <row r="19" spans="16:19" x14ac:dyDescent="0.35">
      <c r="P19" s="3" t="s">
        <v>13</v>
      </c>
      <c r="Q19" s="3">
        <f>3*12</f>
        <v>36</v>
      </c>
      <c r="R19" s="3"/>
      <c r="S19" s="3"/>
    </row>
    <row r="20" spans="16:19" x14ac:dyDescent="0.35">
      <c r="P20" s="3"/>
      <c r="Q20" s="3"/>
      <c r="R20" s="3"/>
      <c r="S20" s="3"/>
    </row>
    <row r="21" spans="16:19" x14ac:dyDescent="0.35">
      <c r="P21" s="3"/>
      <c r="Q21" s="3"/>
      <c r="R21" s="3"/>
      <c r="S21" s="3"/>
    </row>
    <row r="22" spans="16:19" x14ac:dyDescent="0.35">
      <c r="P22" s="3"/>
      <c r="Q22" s="3"/>
      <c r="R22" s="3" t="s">
        <v>14</v>
      </c>
      <c r="S22" s="3">
        <f>P14*(Q18*(1+Q18)^Q19)/(1+Q18)^Q19-1</f>
        <v>7499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4.5" x14ac:dyDescent="0.35"/>
  <cols>
    <col min="1" max="1" width="15.54296875" customWidth="1"/>
    <col min="4" max="4" width="18.1796875" customWidth="1"/>
    <col min="6" max="6" width="17.26953125" customWidth="1"/>
    <col min="7" max="7" width="25.453125" customWidth="1"/>
    <col min="8" max="8" width="17.26953125" customWidth="1"/>
  </cols>
  <sheetData>
    <row r="1" spans="1:4" x14ac:dyDescent="0.35">
      <c r="A1">
        <v>500000</v>
      </c>
    </row>
    <row r="2" spans="1:4" x14ac:dyDescent="0.35">
      <c r="A2" s="6">
        <v>18</v>
      </c>
    </row>
    <row r="3" spans="1:4" x14ac:dyDescent="0.35">
      <c r="A3">
        <v>3</v>
      </c>
    </row>
    <row r="5" spans="1:4" x14ac:dyDescent="0.35">
      <c r="A5" t="s">
        <v>12</v>
      </c>
      <c r="B5">
        <f>A2/12/100</f>
        <v>1.4999999999999999E-2</v>
      </c>
    </row>
    <row r="6" spans="1:4" x14ac:dyDescent="0.35">
      <c r="A6" t="s">
        <v>13</v>
      </c>
      <c r="B6">
        <f>3*12</f>
        <v>36</v>
      </c>
    </row>
    <row r="9" spans="1:4" x14ac:dyDescent="0.35">
      <c r="C9" t="s">
        <v>14</v>
      </c>
      <c r="D9">
        <f>A1*(B5*(1+B5)^B6)/(1+B5)^B6-1</f>
        <v>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2026-09-23T11:40:36Z</dcterms:modified>
</cp:coreProperties>
</file>